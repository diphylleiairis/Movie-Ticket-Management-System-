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tudy File\Software Testing\Movie\"/>
    </mc:Choice>
  </mc:AlternateContent>
  <xr:revisionPtr revIDLastSave="0" documentId="13_ncr:1_{77DA2651-EA9F-4958-800D-85B7FDD995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Backlog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E10" i="1" s="1"/>
  <c r="E25" i="2"/>
  <c r="C25" i="2"/>
  <c r="E24" i="2"/>
  <c r="C24" i="2"/>
  <c r="E23" i="2"/>
  <c r="C23" i="2"/>
  <c r="E22" i="2"/>
  <c r="C22" i="2"/>
  <c r="I16" i="2"/>
  <c r="H16" i="2"/>
  <c r="G16" i="2"/>
  <c r="F16" i="2"/>
  <c r="E16" i="2"/>
  <c r="D16" i="2"/>
  <c r="C16" i="2"/>
  <c r="I15" i="2"/>
  <c r="H15" i="2"/>
  <c r="G15" i="2"/>
  <c r="F15" i="2"/>
  <c r="E15" i="2"/>
  <c r="D15" i="2"/>
  <c r="C15" i="2"/>
  <c r="I14" i="2"/>
  <c r="H14" i="2"/>
  <c r="G14" i="2"/>
  <c r="F14" i="2"/>
  <c r="E14" i="2"/>
  <c r="D14" i="2"/>
  <c r="C14" i="2"/>
  <c r="I13" i="2"/>
  <c r="H13" i="2"/>
  <c r="G13" i="2"/>
  <c r="F13" i="2"/>
  <c r="E13" i="2"/>
  <c r="D13" i="2"/>
  <c r="C13" i="2"/>
  <c r="J7" i="2"/>
  <c r="H7" i="2"/>
  <c r="F7" i="2"/>
  <c r="B7" i="2"/>
  <c r="H6" i="2"/>
  <c r="F6" i="2"/>
  <c r="D6" i="2"/>
  <c r="B6" i="2"/>
  <c r="D7" i="2" l="1"/>
  <c r="C17" i="2"/>
  <c r="D17" i="2"/>
  <c r="E17" i="2"/>
  <c r="J13" i="2"/>
  <c r="K13" i="2" s="1"/>
  <c r="F24" i="2"/>
  <c r="J15" i="2"/>
  <c r="K15" i="2" s="1"/>
  <c r="F17" i="2"/>
  <c r="J16" i="2"/>
  <c r="K16" i="2" s="1"/>
  <c r="G17" i="2"/>
  <c r="J6" i="2"/>
  <c r="B9" i="2" s="1"/>
  <c r="J14" i="2"/>
  <c r="K14" i="2" s="1"/>
  <c r="I17" i="2"/>
  <c r="D22" i="2"/>
  <c r="D25" i="2"/>
  <c r="F22" i="2"/>
  <c r="F25" i="2"/>
  <c r="C26" i="2"/>
  <c r="C27" i="2" s="1"/>
  <c r="D23" i="2"/>
  <c r="E26" i="2"/>
  <c r="E27" i="2" s="1"/>
  <c r="F23" i="2"/>
  <c r="H17" i="2"/>
  <c r="D24" i="2"/>
  <c r="D26" i="2" l="1"/>
  <c r="D27" i="2" s="1"/>
  <c r="J17" i="2"/>
  <c r="K17" i="2" s="1"/>
  <c r="F26" i="2"/>
  <c r="F27" i="2" s="1"/>
</calcChain>
</file>

<file path=xl/sharedStrings.xml><?xml version="1.0" encoding="utf-8"?>
<sst xmlns="http://schemas.openxmlformats.org/spreadsheetml/2006/main" count="70" uniqueCount="46">
  <si>
    <t>Task Name</t>
  </si>
  <si>
    <t>Estimate time (hour)</t>
  </si>
  <si>
    <t>Take by</t>
  </si>
  <si>
    <t>Status</t>
  </si>
  <si>
    <t>Date Doing</t>
  </si>
  <si>
    <t>Note</t>
  </si>
  <si>
    <t>Nguyễn Mạnh Đăng</t>
  </si>
  <si>
    <t>Pending</t>
  </si>
  <si>
    <t>Define user roles and permissions</t>
  </si>
  <si>
    <t>Lê Thành Hòa</t>
  </si>
  <si>
    <t>Nghiêm Đặng Linh Chi</t>
  </si>
  <si>
    <t>Nguyễn Huỳnh Anh Trung</t>
  </si>
  <si>
    <t>Initialize backend project and REST API structure</t>
  </si>
  <si>
    <t>Design database structure</t>
  </si>
  <si>
    <t>Total</t>
  </si>
  <si>
    <t>Done task:</t>
  </si>
  <si>
    <t>PROJECT PROGRESS DASHBOARD</t>
  </si>
  <si>
    <t>Data automatically updates from the "Sprint Backlog" sheet (based on Status, Take by, Estimate time columns).</t>
  </si>
  <si>
    <t>TOTAL TASKS</t>
  </si>
  <si>
    <t>TASKS COMPLETED</t>
  </si>
  <si>
    <t>TOTAL HOURS</t>
  </si>
  <si>
    <t>COMPLETED WORK VOLUME</t>
  </si>
  <si>
    <t>% COMPLETED</t>
  </si>
  <si>
    <t>1. Progress by Member</t>
  </si>
  <si>
    <t>Member</t>
  </si>
  <si>
    <t>Number of Tasks</t>
  </si>
  <si>
    <t>Done</t>
  </si>
  <si>
    <t>Doing</t>
  </si>
  <si>
    <t>Fail</t>
  </si>
  <si>
    <t>Total Volume (hours)</t>
  </si>
  <si>
    <t>Completed (hours)</t>
  </si>
  <si>
    <t>% Completion</t>
  </si>
  <si>
    <t>Progress</t>
  </si>
  <si>
    <t>Note: Names in the "Member" column must exactly match the "Take by" column in Sprint Backlog. To add a member: insert a row in the middle of the table and drag down formulas.</t>
  </si>
  <si>
    <t>2. Distribution by Status</t>
  </si>
  <si>
    <t>% of Tasks</t>
  </si>
  <si>
    <t>Total Hours</t>
  </si>
  <si>
    <t>% Hours</t>
  </si>
  <si>
    <t>How to read:
• Completed work volume = total estimated hours of tasks with Status = Done (not actual hours worked).
• Valid statuses: Done, Doing, Pending, Fail (select from dropdown).
• Tasks without a Status are categorized as "Not Updated".</t>
  </si>
  <si>
    <t>Not Updated</t>
  </si>
  <si>
    <t>3. Charts</t>
  </si>
  <si>
    <t>Finalize project scope and requirements</t>
  </si>
  <si>
    <t>Finalize domain glossary and business rules</t>
  </si>
  <si>
    <t>Define system modules and architecture</t>
  </si>
  <si>
    <t>Configure development Git workflow</t>
  </si>
  <si>
    <t>Define TestCafe testing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</si>
</sst>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21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theme="1"/>
      <name val="Calibri"/>
      <scheme val="minor"/>
    </font>
    <font>
      <sz val="10"/>
      <color theme="1"/>
      <name val="Arial"/>
    </font>
    <font>
      <sz val="11"/>
      <color theme="1"/>
      <name val="Calibri"/>
    </font>
    <font>
      <b/>
      <sz val="11"/>
      <color theme="1"/>
      <name val="Arial"/>
    </font>
    <font>
      <b/>
      <sz val="20"/>
      <color rgb="FFFFFFFF"/>
      <name val="Arial"/>
    </font>
    <font>
      <sz val="11"/>
      <name val="Calibri"/>
    </font>
    <font>
      <sz val="11"/>
      <color rgb="FF999999"/>
      <name val="Calibri"/>
      <scheme val="minor"/>
    </font>
    <font>
      <sz val="9"/>
      <color rgb="FF595959"/>
      <name val="Arial"/>
    </font>
    <font>
      <b/>
      <sz val="9"/>
      <color rgb="FF595959"/>
      <name val="Arial"/>
    </font>
    <font>
      <b/>
      <sz val="24"/>
      <color rgb="FF1F3864"/>
      <name val="Arial"/>
    </font>
    <font>
      <b/>
      <sz val="24"/>
      <color rgb="FF2E7D32"/>
      <name val="Arial"/>
    </font>
    <font>
      <b/>
      <sz val="12"/>
      <color rgb="FF2E7D32"/>
      <name val="Arial"/>
    </font>
    <font>
      <b/>
      <sz val="12"/>
      <color rgb="FF1F3864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2E7D32"/>
      <name val="Arial"/>
    </font>
    <font>
      <b/>
      <sz val="10"/>
      <color rgb="FF000000"/>
      <name val="Arial"/>
    </font>
    <font>
      <b/>
      <sz val="10"/>
      <color rgb="FF2E7D32"/>
      <name val="Arial"/>
    </font>
    <font>
      <sz val="8"/>
      <color rgb="FF7F7F7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E0B2"/>
        <bgColor rgb="FFFFE0B2"/>
      </patternFill>
    </fill>
    <fill>
      <patternFill patternType="solid">
        <fgColor rgb="FFFFCDD2"/>
        <bgColor rgb="FFFFCDD2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3" fillId="0" borderId="0" xfId="0" applyFont="1"/>
    <xf numFmtId="0" fontId="18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165" fontId="18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center" vertical="center"/>
    </xf>
    <xf numFmtId="165" fontId="16" fillId="7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center" vertical="center"/>
    </xf>
    <xf numFmtId="165" fontId="16" fillId="8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165" fontId="16" fillId="9" borderId="1" xfId="0" applyNumberFormat="1" applyFont="1" applyFill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" fontId="12" fillId="4" borderId="2" xfId="0" applyNumberFormat="1" applyFont="1" applyFill="1" applyBorder="1" applyAlignment="1">
      <alignment horizontal="center" vertical="center"/>
    </xf>
    <xf numFmtId="0" fontId="7" fillId="0" borderId="4" xfId="0" applyFont="1" applyBorder="1"/>
    <xf numFmtId="165" fontId="12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10" fillId="4" borderId="2" xfId="0" applyFont="1" applyFill="1" applyBorder="1" applyAlignment="1">
      <alignment horizontal="center" vertical="center"/>
    </xf>
    <xf numFmtId="1" fontId="11" fillId="4" borderId="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0" fillId="0" borderId="0" xfId="0"/>
    <xf numFmtId="0" fontId="14" fillId="0" borderId="5" xfId="0" applyFont="1" applyBorder="1" applyAlignment="1">
      <alignment horizontal="left" vertical="center"/>
    </xf>
    <xf numFmtId="0" fontId="7" fillId="0" borderId="5" xfId="0" applyFont="1" applyBorder="1"/>
    <xf numFmtId="0" fontId="9" fillId="4" borderId="6" xfId="0" applyFont="1" applyFill="1" applyBorder="1" applyAlignment="1">
      <alignment horizontal="left" vertical="top" wrapText="1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13" fillId="5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font>
        <b/>
        <sz val="10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0"/>
        <color rgb="FFE65100"/>
        <name val="Arial"/>
      </font>
      <fill>
        <patternFill patternType="solid">
          <fgColor rgb="FFFFE0B2"/>
          <bgColor rgb="FFFFE0B2"/>
        </patternFill>
      </fill>
    </dxf>
    <dxf>
      <font>
        <b/>
        <sz val="10"/>
        <color rgb="FF0D47A1"/>
        <name val="Arial"/>
      </font>
      <fill>
        <patternFill patternType="solid">
          <fgColor rgb="FFBBDEFB"/>
          <bgColor rgb="FFBBDEFB"/>
        </patternFill>
      </fill>
    </dxf>
    <dxf>
      <font>
        <b/>
        <sz val="10"/>
        <color rgb="FF1B5E20"/>
        <name val="Arial"/>
      </font>
      <fill>
        <patternFill patternType="solid">
          <fgColor rgb="FFC8E6C9"/>
          <bgColor rgb="FFC8E6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000000"/>
                </a:solidFill>
                <a:latin typeface="Arial"/>
              </a:defRPr>
            </a:pPr>
            <a:r>
              <a:rPr lang="en-US" sz="1100" b="1" i="0">
                <a:solidFill>
                  <a:srgbClr val="000000"/>
                </a:solidFill>
                <a:latin typeface="Arial"/>
              </a:rPr>
              <a:t>Completed Work Volume by Member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Volume (hours)</c:v>
          </c:tx>
          <c:spPr>
            <a:solidFill>
              <a:srgbClr val="90A4AE"/>
            </a:solidFill>
            <a:ln cmpd="sng">
              <a:noFill/>
            </a:ln>
          </c:spPr>
          <c:invertIfNegative val="1"/>
          <c:cat>
            <c:strRef>
              <c:f>Dashboard!$B$13:$B$16</c:f>
              <c:strCache>
                <c:ptCount val="4"/>
                <c:pt idx="0">
                  <c:v>Nguyễn Mạnh Đăng</c:v>
                </c:pt>
                <c:pt idx="1">
                  <c:v>Lê Thành Hòa</c:v>
                </c:pt>
                <c:pt idx="2">
                  <c:v>Nghiêm Đặng Linh Chi</c:v>
                </c:pt>
                <c:pt idx="3">
                  <c:v>Nguyễn Huỳnh Anh Trung</c:v>
                </c:pt>
              </c:strCache>
            </c:strRef>
          </c:cat>
          <c:val>
            <c:numRef>
              <c:f>Dashboard!$H$13:$H$16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ABE-42AA-9299-BE1FF7248DCB}"/>
            </c:ext>
          </c:extLst>
        </c:ser>
        <c:ser>
          <c:idx val="1"/>
          <c:order val="1"/>
          <c:tx>
            <c:v>Completed (hours)</c:v>
          </c:tx>
          <c:spPr>
            <a:solidFill>
              <a:srgbClr val="43A047"/>
            </a:solidFill>
            <a:ln cmpd="sng">
              <a:noFill/>
            </a:ln>
          </c:spPr>
          <c:invertIfNegative val="1"/>
          <c:cat>
            <c:strRef>
              <c:f>Dashboard!$B$13:$B$16</c:f>
              <c:strCache>
                <c:ptCount val="4"/>
                <c:pt idx="0">
                  <c:v>Nguyễn Mạnh Đăng</c:v>
                </c:pt>
                <c:pt idx="1">
                  <c:v>Lê Thành Hòa</c:v>
                </c:pt>
                <c:pt idx="2">
                  <c:v>Nghiêm Đặng Linh Chi</c:v>
                </c:pt>
                <c:pt idx="3">
                  <c:v>Nguyễn Huỳnh Anh Trung</c:v>
                </c:pt>
              </c:strCache>
            </c:strRef>
          </c:cat>
          <c:val>
            <c:numRef>
              <c:f>Dashboard!$I$13:$I$16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ABE-42AA-9299-BE1FF7248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4552730"/>
        <c:axId val="475018676"/>
      </c:barChart>
      <c:catAx>
        <c:axId val="2004552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5018676"/>
        <c:crosses val="autoZero"/>
        <c:auto val="1"/>
        <c:lblAlgn val="ctr"/>
        <c:lblOffset val="100"/>
        <c:noMultiLvlLbl val="1"/>
      </c:catAx>
      <c:valAx>
        <c:axId val="475018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Estimated 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55273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000000"/>
                </a:solidFill>
                <a:latin typeface="Arial"/>
              </a:defRPr>
            </a:pPr>
            <a:r>
              <a:rPr lang="en-US" sz="1100" b="1" i="0">
                <a:solidFill>
                  <a:srgbClr val="000000"/>
                </a:solidFill>
                <a:latin typeface="Arial"/>
              </a:rPr>
              <a:t>Number of Tasks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Số task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3A047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A62C-46B4-9CED-6C3DFF28A545}"/>
              </c:ext>
            </c:extLst>
          </c:dPt>
          <c:dPt>
            <c:idx val="1"/>
            <c:invertIfNegative val="1"/>
            <c:bubble3D val="0"/>
            <c:spPr>
              <a:solidFill>
                <a:srgbClr val="1E88E5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A62C-46B4-9CED-6C3DFF28A545}"/>
              </c:ext>
            </c:extLst>
          </c:dPt>
          <c:dPt>
            <c:idx val="2"/>
            <c:invertIfNegative val="1"/>
            <c:bubble3D val="0"/>
            <c:spPr>
              <a:solidFill>
                <a:srgbClr val="FB8C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A62C-46B4-9CED-6C3DFF28A545}"/>
              </c:ext>
            </c:extLst>
          </c:dPt>
          <c:dPt>
            <c:idx val="3"/>
            <c:invertIfNegative val="1"/>
            <c:bubble3D val="0"/>
            <c:spPr>
              <a:solidFill>
                <a:srgbClr val="E53935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7-A62C-46B4-9CED-6C3DFF28A545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62C-46B4-9CED-6C3DFF28A545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62C-46B4-9CED-6C3DFF28A545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62C-46B4-9CED-6C3DFF28A545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62C-46B4-9CED-6C3DFF28A5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Dashboard!$B$22:$B$25</c:f>
              <c:strCache>
                <c:ptCount val="4"/>
                <c:pt idx="0">
                  <c:v>Done</c:v>
                </c:pt>
                <c:pt idx="1">
                  <c:v>Doing</c:v>
                </c:pt>
                <c:pt idx="2">
                  <c:v>Pending</c:v>
                </c:pt>
                <c:pt idx="3">
                  <c:v>Fail</c:v>
                </c:pt>
              </c:strCache>
            </c:strRef>
          </c:cat>
          <c:val>
            <c:numRef>
              <c:f>Dashboard!$C$22:$C$25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A62C-46B4-9CED-6C3DFF28A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3732531"/>
        <c:axId val="1920267978"/>
      </c:barChart>
      <c:catAx>
        <c:axId val="1483732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20267978"/>
        <c:crosses val="autoZero"/>
        <c:auto val="1"/>
        <c:lblAlgn val="ctr"/>
        <c:lblOffset val="100"/>
        <c:noMultiLvlLbl val="1"/>
      </c:catAx>
      <c:valAx>
        <c:axId val="1920267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Number of Tasks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8373253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</xdr:row>
      <xdr:rowOff>0</xdr:rowOff>
    </xdr:from>
    <xdr:ext cx="4210050" cy="29051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0</xdr:colOff>
      <xdr:row>29</xdr:row>
      <xdr:rowOff>0</xdr:rowOff>
    </xdr:from>
    <xdr:ext cx="4838700" cy="29051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18"/>
  <sheetViews>
    <sheetView tabSelected="1" workbookViewId="0">
      <pane ySplit="1" topLeftCell="A2" activePane="bottomLeft" state="frozen"/>
      <selection pane="bottomLeft" activeCell="I15" sqref="I15"/>
    </sheetView>
  </sheetViews>
  <sheetFormatPr defaultColWidth="14.42578125" defaultRowHeight="15" customHeight="1" x14ac:dyDescent="0.25"/>
  <cols>
    <col min="1" max="1" width="58" customWidth="1"/>
    <col min="2" max="2" width="20" customWidth="1"/>
    <col min="3" max="3" width="27.28515625" customWidth="1"/>
    <col min="4" max="4" width="14" customWidth="1"/>
    <col min="5" max="5" width="16" customWidth="1"/>
    <col min="6" max="6" width="34" customWidth="1"/>
    <col min="7" max="26" width="8.7109375" customWidth="1"/>
  </cols>
  <sheetData>
    <row r="1" spans="1:2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6" ht="14.25" customHeight="1" x14ac:dyDescent="0.25">
      <c r="A2" t="s">
        <v>41</v>
      </c>
      <c r="B2" s="3">
        <v>2</v>
      </c>
      <c r="C2" s="4" t="s">
        <v>6</v>
      </c>
      <c r="D2" s="5" t="s">
        <v>26</v>
      </c>
      <c r="E2" s="6"/>
      <c r="F2" s="7"/>
    </row>
    <row r="3" spans="1:26" ht="14.25" customHeight="1" x14ac:dyDescent="0.25">
      <c r="A3" s="60" t="s">
        <v>42</v>
      </c>
      <c r="B3" s="3">
        <v>1</v>
      </c>
      <c r="C3" s="4" t="s">
        <v>9</v>
      </c>
      <c r="D3" s="5" t="s">
        <v>26</v>
      </c>
      <c r="E3" s="6"/>
      <c r="F3" s="7"/>
    </row>
    <row r="4" spans="1:26" ht="14.25" customHeight="1" x14ac:dyDescent="0.25">
      <c r="A4" t="s">
        <v>8</v>
      </c>
      <c r="B4" s="3">
        <v>1</v>
      </c>
      <c r="C4" s="4" t="s">
        <v>10</v>
      </c>
      <c r="D4" s="5" t="s">
        <v>26</v>
      </c>
      <c r="E4" s="6"/>
      <c r="F4" s="7"/>
    </row>
    <row r="5" spans="1:26" ht="14.25" customHeight="1" x14ac:dyDescent="0.25">
      <c r="A5" t="s">
        <v>43</v>
      </c>
      <c r="B5" s="3">
        <v>2</v>
      </c>
      <c r="C5" s="4" t="s">
        <v>11</v>
      </c>
      <c r="D5" s="5" t="s">
        <v>7</v>
      </c>
      <c r="E5" s="6"/>
      <c r="F5" s="7"/>
    </row>
    <row r="6" spans="1:26" ht="14.25" customHeight="1" x14ac:dyDescent="0.25">
      <c r="A6" t="s">
        <v>12</v>
      </c>
      <c r="B6" s="3">
        <v>2</v>
      </c>
      <c r="C6" s="4" t="s">
        <v>6</v>
      </c>
      <c r="D6" s="5" t="s">
        <v>7</v>
      </c>
      <c r="E6" s="6"/>
      <c r="F6" s="7"/>
    </row>
    <row r="7" spans="1:26" ht="14.25" customHeight="1" x14ac:dyDescent="0.25">
      <c r="A7" s="2" t="s">
        <v>13</v>
      </c>
      <c r="B7" s="3">
        <v>2</v>
      </c>
      <c r="C7" s="4" t="s">
        <v>9</v>
      </c>
      <c r="D7" s="5" t="s">
        <v>7</v>
      </c>
      <c r="E7" s="6"/>
      <c r="F7" s="7"/>
    </row>
    <row r="8" spans="1:26" ht="14.25" customHeight="1" x14ac:dyDescent="0.25">
      <c r="A8" t="s">
        <v>44</v>
      </c>
      <c r="B8" s="3">
        <v>2</v>
      </c>
      <c r="C8" s="4" t="s">
        <v>9</v>
      </c>
      <c r="D8" s="5" t="s">
        <v>7</v>
      </c>
      <c r="E8" s="6"/>
      <c r="F8" s="7"/>
    </row>
    <row r="9" spans="1:26" ht="14.25" customHeight="1" x14ac:dyDescent="0.25">
      <c r="A9" t="s">
        <v>45</v>
      </c>
      <c r="B9" s="3">
        <v>2</v>
      </c>
      <c r="C9" s="4" t="s">
        <v>11</v>
      </c>
      <c r="D9" s="5" t="s">
        <v>7</v>
      </c>
      <c r="E9" s="6"/>
      <c r="F9" s="7"/>
    </row>
    <row r="10" spans="1:26" ht="14.25" customHeight="1" x14ac:dyDescent="0.25">
      <c r="A10" s="9" t="s">
        <v>14</v>
      </c>
      <c r="B10" s="10">
        <f>SUM(B2:B9)</f>
        <v>14</v>
      </c>
      <c r="C10" s="11"/>
      <c r="D10" s="10" t="s">
        <v>15</v>
      </c>
      <c r="E10" s="12">
        <f>IF(B10=0,0,SUMIFS(B2:B9,D2:D9,"Done")/B10)</f>
        <v>0.2857142857142857</v>
      </c>
      <c r="F10" s="11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</sheetData>
  <conditionalFormatting sqref="D2:D9">
    <cfRule type="cellIs" dxfId="3" priority="1" operator="equal">
      <formula>"Done"</formula>
    </cfRule>
    <cfRule type="cellIs" dxfId="2" priority="2" operator="equal">
      <formula>"Doing"</formula>
    </cfRule>
    <cfRule type="cellIs" dxfId="1" priority="3" operator="equal">
      <formula>"Pending"</formula>
    </cfRule>
    <cfRule type="cellIs" dxfId="0" priority="4" operator="equal">
      <formula>"Fail"</formula>
    </cfRule>
  </conditionalFormatting>
  <dataValidations count="2">
    <dataValidation type="list" allowBlank="1" showInputMessage="1" showErrorMessage="1" prompt="Status không hợp lệ - Chọn: Done, Doing, Pending hoặc Fail" sqref="D2:D9" xr:uid="{00000000-0002-0000-0000-000000000000}">
      <formula1>"Done,Doing,Pending,Fail"</formula1>
    </dataValidation>
    <dataValidation type="date" operator="greaterThan" allowBlank="1" showInputMessage="1" showErrorMessage="1" prompt="Ngày không hợp lệ - Bấm đúp vào ô để chọn ngày từ lịch (định dạng dd/mm/yyyy)" sqref="E2:E9" xr:uid="{00000000-0002-0000-0000-000001000000}">
      <formula1>36526</formula1>
    </dataValidation>
  </dataValidations>
  <pageMargins left="0.75" right="0.75" top="1" bottom="1" header="0" footer="0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Thành viên không hợp lệ - Chọn tên từ danh sách (danh sách nằm ở bảng thành viên trong sheet Dashboard)" xr:uid="{00000000-0002-0000-0000-000002000000}">
          <x14:formula1>
            <xm:f>Dashboard!$B$13:$B$16</xm:f>
          </x14:formula1>
          <xm:sqref>C2:C9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1000"/>
  <sheetViews>
    <sheetView showGridLines="0" workbookViewId="0"/>
  </sheetViews>
  <sheetFormatPr defaultColWidth="14.42578125" defaultRowHeight="15" customHeight="1" x14ac:dyDescent="0.25"/>
  <cols>
    <col min="1" max="1" width="2" customWidth="1"/>
    <col min="2" max="2" width="25" customWidth="1"/>
    <col min="3" max="3" width="17.28515625" customWidth="1"/>
    <col min="4" max="7" width="11" customWidth="1"/>
    <col min="8" max="9" width="13" customWidth="1"/>
    <col min="10" max="10" width="15" customWidth="1"/>
    <col min="11" max="11" width="30" customWidth="1"/>
    <col min="12" max="26" width="8.7109375" customWidth="1"/>
  </cols>
  <sheetData>
    <row r="1" spans="2:11" ht="14.25" customHeight="1" x14ac:dyDescent="0.25"/>
    <row r="2" spans="2:11" ht="39.75" customHeight="1" x14ac:dyDescent="0.25">
      <c r="B2" s="43" t="s">
        <v>16</v>
      </c>
      <c r="C2" s="44"/>
      <c r="D2" s="44"/>
      <c r="E2" s="44"/>
      <c r="F2" s="44"/>
      <c r="G2" s="44"/>
      <c r="H2" s="44"/>
      <c r="I2" s="44"/>
      <c r="J2" s="44"/>
      <c r="K2" s="40"/>
    </row>
    <row r="3" spans="2:11" ht="14.25" customHeight="1" x14ac:dyDescent="0.25">
      <c r="B3" s="13" t="s">
        <v>17</v>
      </c>
      <c r="C3" s="14"/>
      <c r="D3" s="14"/>
      <c r="E3" s="14"/>
      <c r="F3" s="14"/>
      <c r="G3" s="14"/>
      <c r="H3" s="14"/>
      <c r="I3" s="14"/>
      <c r="J3" s="14"/>
      <c r="K3" s="14"/>
    </row>
    <row r="4" spans="2:11" ht="14.25" customHeight="1" x14ac:dyDescent="0.25"/>
    <row r="5" spans="2:11" ht="19.5" customHeight="1" x14ac:dyDescent="0.25">
      <c r="B5" s="45" t="s">
        <v>18</v>
      </c>
      <c r="C5" s="40"/>
      <c r="D5" s="45" t="s">
        <v>19</v>
      </c>
      <c r="E5" s="40"/>
      <c r="F5" s="45" t="s">
        <v>20</v>
      </c>
      <c r="G5" s="40"/>
      <c r="H5" s="45" t="s">
        <v>21</v>
      </c>
      <c r="I5" s="40"/>
      <c r="J5" s="45" t="s">
        <v>22</v>
      </c>
      <c r="K5" s="40"/>
    </row>
    <row r="6" spans="2:11" ht="42" customHeight="1" x14ac:dyDescent="0.25">
      <c r="B6" s="46">
        <f>COUNTIFS('Sprint Backlog'!$C$2:$C$918,"?*")</f>
        <v>8</v>
      </c>
      <c r="C6" s="40"/>
      <c r="D6" s="39">
        <f>COUNTIFS('Sprint Backlog'!$C$2:$C$918,"?*",'Sprint Backlog'!$D$2:$D$918,"Done")</f>
        <v>3</v>
      </c>
      <c r="E6" s="40"/>
      <c r="F6" s="46">
        <f>SUMIFS('Sprint Backlog'!$B$2:$B$918,'Sprint Backlog'!$C$2:$C$918,"?*")</f>
        <v>14</v>
      </c>
      <c r="G6" s="40"/>
      <c r="H6" s="39">
        <f>SUMIFS('Sprint Backlog'!$B$2:$B$918,'Sprint Backlog'!$C$2:$C$918,"?*",'Sprint Backlog'!$D$2:$D$918,"Done")</f>
        <v>4</v>
      </c>
      <c r="I6" s="40"/>
      <c r="J6" s="41">
        <f>IFERROR(H6/F6,0)</f>
        <v>0.2857142857142857</v>
      </c>
      <c r="K6" s="40"/>
    </row>
    <row r="7" spans="2:11" ht="18" customHeight="1" x14ac:dyDescent="0.25">
      <c r="B7" s="42" t="str">
        <f>"tasks in sprint"</f>
        <v>tasks in sprint</v>
      </c>
      <c r="C7" s="40"/>
      <c r="D7" s="42" t="str">
        <f>IFERROR(TEXT(D6/B6,"0.0%"),"0%")&amp;" of total tasks"</f>
        <v>37.5% of total tasks</v>
      </c>
      <c r="E7" s="40"/>
      <c r="F7" s="42" t="str">
        <f>"hours (Estimate time)"</f>
        <v>hours (Estimate time)</v>
      </c>
      <c r="G7" s="40"/>
      <c r="H7" s="42" t="str">
        <f>"estimated hours of Done tasks"</f>
        <v>estimated hours of Done tasks</v>
      </c>
      <c r="I7" s="40"/>
      <c r="J7" s="42" t="str">
        <f>"calculated in hours"</f>
        <v>calculated in hours</v>
      </c>
      <c r="K7" s="40"/>
    </row>
    <row r="8" spans="2:11" ht="14.25" customHeight="1" x14ac:dyDescent="0.25"/>
    <row r="9" spans="2:11" ht="27.75" customHeight="1" x14ac:dyDescent="0.25">
      <c r="B9" s="59" t="str">
        <f>"Overall Progress: "&amp;TEXT(J6,"0.0%")&amp;"   "&amp;REPT("█",ROUND(J6*40,0))&amp;REPT("░",40-ROUND(J6*40,0))</f>
        <v>Overall Progress: 28.6%   ███████████░░░░░░░░░░░░░░░░░░░░░░░░░░░░░</v>
      </c>
      <c r="C9" s="44"/>
      <c r="D9" s="44"/>
      <c r="E9" s="44"/>
      <c r="F9" s="44"/>
      <c r="G9" s="44"/>
      <c r="H9" s="44"/>
      <c r="I9" s="44"/>
      <c r="J9" s="44"/>
      <c r="K9" s="40"/>
    </row>
    <row r="10" spans="2:11" ht="14.25" customHeight="1" x14ac:dyDescent="0.25"/>
    <row r="11" spans="2:11" ht="14.25" customHeight="1" x14ac:dyDescent="0.25">
      <c r="B11" s="49" t="s">
        <v>23</v>
      </c>
      <c r="C11" s="50"/>
      <c r="D11" s="50"/>
      <c r="E11" s="50"/>
      <c r="F11" s="50"/>
      <c r="G11" s="50"/>
      <c r="H11" s="50"/>
      <c r="I11" s="50"/>
      <c r="J11" s="50"/>
      <c r="K11" s="50"/>
    </row>
    <row r="12" spans="2:11" ht="31.5" customHeight="1" x14ac:dyDescent="0.25">
      <c r="B12" s="15" t="s">
        <v>24</v>
      </c>
      <c r="C12" s="15" t="s">
        <v>25</v>
      </c>
      <c r="D12" s="15" t="s">
        <v>26</v>
      </c>
      <c r="E12" s="15" t="s">
        <v>27</v>
      </c>
      <c r="F12" s="15" t="s">
        <v>7</v>
      </c>
      <c r="G12" s="15" t="s">
        <v>28</v>
      </c>
      <c r="H12" s="15" t="s">
        <v>29</v>
      </c>
      <c r="I12" s="15" t="s">
        <v>30</v>
      </c>
      <c r="J12" s="15" t="s">
        <v>31</v>
      </c>
      <c r="K12" s="15" t="s">
        <v>32</v>
      </c>
    </row>
    <row r="13" spans="2:11" ht="14.25" customHeight="1" x14ac:dyDescent="0.25">
      <c r="B13" s="16" t="s">
        <v>6</v>
      </c>
      <c r="C13" s="17">
        <f>COUNTIFS('Sprint Backlog'!$C$2:$C$918,$B13)</f>
        <v>2</v>
      </c>
      <c r="D13" s="17">
        <f>COUNTIFS('Sprint Backlog'!$C$2:$C$918,$B13,'Sprint Backlog'!$D$2:$D$918,D$12)</f>
        <v>1</v>
      </c>
      <c r="E13" s="17">
        <f>COUNTIFS('Sprint Backlog'!$C$2:$C$918,$B13,'Sprint Backlog'!$D$2:$D$918,E$12)</f>
        <v>0</v>
      </c>
      <c r="F13" s="17">
        <f>COUNTIFS('Sprint Backlog'!$C$2:$C$918,$B13,'Sprint Backlog'!$D$2:$D$918,F$12)</f>
        <v>1</v>
      </c>
      <c r="G13" s="17">
        <f>COUNTIFS('Sprint Backlog'!$C$2:$C$918,$B13,'Sprint Backlog'!$D$2:$D$918,G$12)</f>
        <v>0</v>
      </c>
      <c r="H13" s="17">
        <f>SUMIFS('Sprint Backlog'!$B$2:$B$918,'Sprint Backlog'!$C$2:$C$918,$B13)</f>
        <v>4</v>
      </c>
      <c r="I13" s="17">
        <f>SUMIFS('Sprint Backlog'!$B$2:$B$918,'Sprint Backlog'!$C$2:$C$918,$B13,'Sprint Backlog'!$D$2:$D$918,"Done")</f>
        <v>2</v>
      </c>
      <c r="J13" s="18">
        <f t="shared" ref="J13:J17" si="0">IF(H13=0,0,I13/H13)</f>
        <v>0.5</v>
      </c>
      <c r="K13" s="19" t="str">
        <f t="shared" ref="K13:K17" si="1">REPT("█",ROUND(J13*20,0))&amp;REPT("░",20-ROUND(J13*20,0))</f>
        <v>██████████░░░░░░░░░░</v>
      </c>
    </row>
    <row r="14" spans="2:11" ht="14.25" customHeight="1" x14ac:dyDescent="0.25">
      <c r="B14" s="16" t="s">
        <v>9</v>
      </c>
      <c r="C14" s="17">
        <f>COUNTIFS('Sprint Backlog'!$C$2:$C$918,$B14)</f>
        <v>3</v>
      </c>
      <c r="D14" s="17">
        <f>COUNTIFS('Sprint Backlog'!$C$2:$C$918,$B14,'Sprint Backlog'!$D$2:$D$918,D$12)</f>
        <v>1</v>
      </c>
      <c r="E14" s="17">
        <f>COUNTIFS('Sprint Backlog'!$C$2:$C$918,$B14,'Sprint Backlog'!$D$2:$D$918,E$12)</f>
        <v>0</v>
      </c>
      <c r="F14" s="17">
        <f>COUNTIFS('Sprint Backlog'!$C$2:$C$918,$B14,'Sprint Backlog'!$D$2:$D$918,F$12)</f>
        <v>2</v>
      </c>
      <c r="G14" s="17">
        <f>COUNTIFS('Sprint Backlog'!$C$2:$C$918,$B14,'Sprint Backlog'!$D$2:$D$918,G$12)</f>
        <v>0</v>
      </c>
      <c r="H14" s="17">
        <f>SUMIFS('Sprint Backlog'!$B$2:$B$918,'Sprint Backlog'!$C$2:$C$918,$B14)</f>
        <v>5</v>
      </c>
      <c r="I14" s="17">
        <f>SUMIFS('Sprint Backlog'!$B$2:$B$918,'Sprint Backlog'!$C$2:$C$918,$B14,'Sprint Backlog'!$D$2:$D$918,"Done")</f>
        <v>1</v>
      </c>
      <c r="J14" s="18">
        <f t="shared" si="0"/>
        <v>0.2</v>
      </c>
      <c r="K14" s="19" t="str">
        <f t="shared" si="1"/>
        <v>████░░░░░░░░░░░░░░░░</v>
      </c>
    </row>
    <row r="15" spans="2:11" ht="14.25" customHeight="1" x14ac:dyDescent="0.25">
      <c r="B15" s="16" t="s">
        <v>10</v>
      </c>
      <c r="C15" s="17">
        <f>COUNTIFS('Sprint Backlog'!$C$2:$C$918,$B15)</f>
        <v>1</v>
      </c>
      <c r="D15" s="17">
        <f>COUNTIFS('Sprint Backlog'!$C$2:$C$918,$B15,'Sprint Backlog'!$D$2:$D$918,D$12)</f>
        <v>1</v>
      </c>
      <c r="E15" s="17">
        <f>COUNTIFS('Sprint Backlog'!$C$2:$C$918,$B15,'Sprint Backlog'!$D$2:$D$918,E$12)</f>
        <v>0</v>
      </c>
      <c r="F15" s="17">
        <f>COUNTIFS('Sprint Backlog'!$C$2:$C$918,$B15,'Sprint Backlog'!$D$2:$D$918,F$12)</f>
        <v>0</v>
      </c>
      <c r="G15" s="17">
        <f>COUNTIFS('Sprint Backlog'!$C$2:$C$918,$B15,'Sprint Backlog'!$D$2:$D$918,G$12)</f>
        <v>0</v>
      </c>
      <c r="H15" s="17">
        <f>SUMIFS('Sprint Backlog'!$B$2:$B$918,'Sprint Backlog'!$C$2:$C$918,$B15)</f>
        <v>1</v>
      </c>
      <c r="I15" s="17">
        <f>SUMIFS('Sprint Backlog'!$B$2:$B$918,'Sprint Backlog'!$C$2:$C$918,$B15,'Sprint Backlog'!$D$2:$D$918,"Done")</f>
        <v>1</v>
      </c>
      <c r="J15" s="18">
        <f t="shared" si="0"/>
        <v>1</v>
      </c>
      <c r="K15" s="19" t="str">
        <f t="shared" si="1"/>
        <v>████████████████████</v>
      </c>
    </row>
    <row r="16" spans="2:11" ht="14.25" customHeight="1" x14ac:dyDescent="0.25">
      <c r="B16" s="20" t="s">
        <v>11</v>
      </c>
      <c r="C16" s="17">
        <f>COUNTIFS('Sprint Backlog'!$C$2:$C$918,$B16)</f>
        <v>2</v>
      </c>
      <c r="D16" s="17">
        <f>COUNTIFS('Sprint Backlog'!$C$2:$C$918,$B16,'Sprint Backlog'!$D$2:$D$918,D$12)</f>
        <v>0</v>
      </c>
      <c r="E16" s="17">
        <f>COUNTIFS('Sprint Backlog'!$C$2:$C$918,$B16,'Sprint Backlog'!$D$2:$D$918,E$12)</f>
        <v>0</v>
      </c>
      <c r="F16" s="17">
        <f>COUNTIFS('Sprint Backlog'!$C$2:$C$918,$B16,'Sprint Backlog'!$D$2:$D$918,F$12)</f>
        <v>2</v>
      </c>
      <c r="G16" s="17">
        <f>COUNTIFS('Sprint Backlog'!$C$2:$C$918,$B16,'Sprint Backlog'!$D$2:$D$918,G$12)</f>
        <v>0</v>
      </c>
      <c r="H16" s="17">
        <f>SUMIFS('Sprint Backlog'!$B$2:$B$918,'Sprint Backlog'!$C$2:$C$918,$B16)</f>
        <v>4</v>
      </c>
      <c r="I16" s="17">
        <f>SUMIFS('Sprint Backlog'!$B$2:$B$918,'Sprint Backlog'!$C$2:$C$918,$B16,'Sprint Backlog'!$D$2:$D$918,"Done")</f>
        <v>0</v>
      </c>
      <c r="J16" s="18">
        <f t="shared" si="0"/>
        <v>0</v>
      </c>
      <c r="K16" s="19" t="str">
        <f t="shared" si="1"/>
        <v>░░░░░░░░░░░░░░░░░░░░</v>
      </c>
    </row>
    <row r="17" spans="2:11" ht="14.25" customHeight="1" x14ac:dyDescent="0.25">
      <c r="B17" s="21" t="s">
        <v>14</v>
      </c>
      <c r="C17" s="22">
        <f t="shared" ref="C17:I17" si="2">SUM(C13:C16)</f>
        <v>8</v>
      </c>
      <c r="D17" s="22">
        <f t="shared" si="2"/>
        <v>3</v>
      </c>
      <c r="E17" s="22">
        <f t="shared" si="2"/>
        <v>0</v>
      </c>
      <c r="F17" s="22">
        <f t="shared" si="2"/>
        <v>5</v>
      </c>
      <c r="G17" s="22">
        <f t="shared" si="2"/>
        <v>0</v>
      </c>
      <c r="H17" s="22">
        <f t="shared" si="2"/>
        <v>14</v>
      </c>
      <c r="I17" s="22">
        <f t="shared" si="2"/>
        <v>4</v>
      </c>
      <c r="J17" s="23">
        <f t="shared" si="0"/>
        <v>0.2857142857142857</v>
      </c>
      <c r="K17" s="24" t="str">
        <f t="shared" si="1"/>
        <v>██████░░░░░░░░░░░░░░</v>
      </c>
    </row>
    <row r="18" spans="2:11" ht="14.25" customHeight="1" x14ac:dyDescent="0.25">
      <c r="B18" s="47" t="s">
        <v>33</v>
      </c>
      <c r="C18" s="48"/>
      <c r="D18" s="48"/>
      <c r="E18" s="48"/>
      <c r="F18" s="48"/>
      <c r="G18" s="48"/>
      <c r="H18" s="48"/>
      <c r="I18" s="48"/>
      <c r="J18" s="48"/>
      <c r="K18" s="48"/>
    </row>
    <row r="19" spans="2:11" ht="14.25" customHeight="1" x14ac:dyDescent="0.25"/>
    <row r="20" spans="2:11" ht="14.25" customHeight="1" x14ac:dyDescent="0.25">
      <c r="B20" s="49" t="s">
        <v>34</v>
      </c>
      <c r="C20" s="50"/>
      <c r="D20" s="50"/>
      <c r="E20" s="50"/>
      <c r="F20" s="50"/>
      <c r="G20" s="50"/>
      <c r="H20" s="50"/>
      <c r="I20" s="50"/>
      <c r="J20" s="50"/>
      <c r="K20" s="50"/>
    </row>
    <row r="21" spans="2:11" ht="28.5" customHeight="1" x14ac:dyDescent="0.25">
      <c r="B21" s="25" t="s">
        <v>3</v>
      </c>
      <c r="C21" s="25" t="s">
        <v>25</v>
      </c>
      <c r="D21" s="25" t="s">
        <v>35</v>
      </c>
      <c r="E21" s="25" t="s">
        <v>36</v>
      </c>
      <c r="F21" s="25" t="s">
        <v>37</v>
      </c>
      <c r="H21" s="51" t="s">
        <v>38</v>
      </c>
      <c r="I21" s="52"/>
      <c r="J21" s="52"/>
      <c r="K21" s="53"/>
    </row>
    <row r="22" spans="2:11" ht="14.25" customHeight="1" x14ac:dyDescent="0.25">
      <c r="B22" s="26" t="s">
        <v>26</v>
      </c>
      <c r="C22" s="27">
        <f>COUNTIFS('Sprint Backlog'!$C$2:$C$918,"?*",'Sprint Backlog'!$D$2:$D$918,$B22)</f>
        <v>3</v>
      </c>
      <c r="D22" s="28">
        <f t="shared" ref="D22:D26" si="3">IF($B$6=0,0,C22/$B$6)</f>
        <v>0.375</v>
      </c>
      <c r="E22" s="27">
        <f>SUMIFS('Sprint Backlog'!$B$2:$B$918,'Sprint Backlog'!$C$2:$C$918,"?*",'Sprint Backlog'!$D$2:$D$918,$B22)</f>
        <v>4</v>
      </c>
      <c r="F22" s="28">
        <f t="shared" ref="F22:F26" si="4">IF($F$6=0,0,E22/$F$6)</f>
        <v>0.2857142857142857</v>
      </c>
      <c r="H22" s="54"/>
      <c r="I22" s="48"/>
      <c r="J22" s="48"/>
      <c r="K22" s="55"/>
    </row>
    <row r="23" spans="2:11" ht="14.25" customHeight="1" x14ac:dyDescent="0.25">
      <c r="B23" s="29" t="s">
        <v>27</v>
      </c>
      <c r="C23" s="30">
        <f>COUNTIFS('Sprint Backlog'!$C$2:$C$918,"?*",'Sprint Backlog'!$D$2:$D$918,$B23)</f>
        <v>0</v>
      </c>
      <c r="D23" s="31">
        <f t="shared" si="3"/>
        <v>0</v>
      </c>
      <c r="E23" s="30">
        <f>SUMIFS('Sprint Backlog'!$B$2:$B$918,'Sprint Backlog'!$C$2:$C$918,"?*",'Sprint Backlog'!$D$2:$D$918,$B23)</f>
        <v>0</v>
      </c>
      <c r="F23" s="31">
        <f t="shared" si="4"/>
        <v>0</v>
      </c>
      <c r="H23" s="54"/>
      <c r="I23" s="48"/>
      <c r="J23" s="48"/>
      <c r="K23" s="55"/>
    </row>
    <row r="24" spans="2:11" ht="14.25" customHeight="1" x14ac:dyDescent="0.25">
      <c r="B24" s="32" t="s">
        <v>7</v>
      </c>
      <c r="C24" s="33">
        <f>COUNTIFS('Sprint Backlog'!$C$2:$C$918,"?*",'Sprint Backlog'!$D$2:$D$918,$B24)</f>
        <v>5</v>
      </c>
      <c r="D24" s="34">
        <f t="shared" si="3"/>
        <v>0.625</v>
      </c>
      <c r="E24" s="33">
        <f>SUMIFS('Sprint Backlog'!$B$2:$B$918,'Sprint Backlog'!$C$2:$C$918,"?*",'Sprint Backlog'!$D$2:$D$918,$B24)</f>
        <v>10</v>
      </c>
      <c r="F24" s="34">
        <f t="shared" si="4"/>
        <v>0.7142857142857143</v>
      </c>
      <c r="H24" s="54"/>
      <c r="I24" s="48"/>
      <c r="J24" s="48"/>
      <c r="K24" s="55"/>
    </row>
    <row r="25" spans="2:11" ht="14.25" customHeight="1" x14ac:dyDescent="0.25">
      <c r="B25" s="35" t="s">
        <v>28</v>
      </c>
      <c r="C25" s="36">
        <f>COUNTIFS('Sprint Backlog'!$C$2:$C$918,"?*",'Sprint Backlog'!$D$2:$D$918,$B25)</f>
        <v>0</v>
      </c>
      <c r="D25" s="37">
        <f t="shared" si="3"/>
        <v>0</v>
      </c>
      <c r="E25" s="36">
        <f>SUMIFS('Sprint Backlog'!$B$2:$B$918,'Sprint Backlog'!$C$2:$C$918,"?*",'Sprint Backlog'!$D$2:$D$918,$B25)</f>
        <v>0</v>
      </c>
      <c r="F25" s="37">
        <f t="shared" si="4"/>
        <v>0</v>
      </c>
      <c r="H25" s="54"/>
      <c r="I25" s="48"/>
      <c r="J25" s="48"/>
      <c r="K25" s="55"/>
    </row>
    <row r="26" spans="2:11" ht="14.25" customHeight="1" x14ac:dyDescent="0.25">
      <c r="B26" s="16" t="s">
        <v>39</v>
      </c>
      <c r="C26" s="38">
        <f>$B$6-SUM(C22:C25)</f>
        <v>0</v>
      </c>
      <c r="D26" s="18">
        <f t="shared" si="3"/>
        <v>0</v>
      </c>
      <c r="E26" s="38">
        <f>$F$6-SUM(E22:E25)</f>
        <v>0</v>
      </c>
      <c r="F26" s="18">
        <f t="shared" si="4"/>
        <v>0</v>
      </c>
      <c r="H26" s="54"/>
      <c r="I26" s="48"/>
      <c r="J26" s="48"/>
      <c r="K26" s="55"/>
    </row>
    <row r="27" spans="2:11" ht="14.25" customHeight="1" x14ac:dyDescent="0.25">
      <c r="B27" s="21" t="s">
        <v>14</v>
      </c>
      <c r="C27" s="22">
        <f t="shared" ref="C27:F27" si="5">SUM(C22:C26)</f>
        <v>8</v>
      </c>
      <c r="D27" s="23">
        <f t="shared" si="5"/>
        <v>1</v>
      </c>
      <c r="E27" s="22">
        <f t="shared" si="5"/>
        <v>14</v>
      </c>
      <c r="F27" s="23">
        <f t="shared" si="5"/>
        <v>1</v>
      </c>
      <c r="H27" s="56"/>
      <c r="I27" s="57"/>
      <c r="J27" s="57"/>
      <c r="K27" s="58"/>
    </row>
    <row r="28" spans="2:11" ht="14.25" customHeight="1" x14ac:dyDescent="0.25"/>
    <row r="29" spans="2:11" ht="14.25" customHeight="1" x14ac:dyDescent="0.25">
      <c r="B29" s="49" t="s">
        <v>40</v>
      </c>
      <c r="C29" s="50"/>
      <c r="D29" s="50"/>
      <c r="E29" s="50"/>
      <c r="F29" s="50"/>
      <c r="G29" s="50"/>
      <c r="H29" s="50"/>
      <c r="I29" s="50"/>
      <c r="J29" s="50"/>
      <c r="K29" s="50"/>
    </row>
    <row r="30" spans="2:11" ht="14.25" customHeight="1" x14ac:dyDescent="0.25"/>
    <row r="31" spans="2:11" ht="14.25" customHeight="1" x14ac:dyDescent="0.25"/>
    <row r="32" spans="2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2">
    <mergeCell ref="B18:K18"/>
    <mergeCell ref="B20:K20"/>
    <mergeCell ref="H21:K27"/>
    <mergeCell ref="B29:K29"/>
    <mergeCell ref="D6:E6"/>
    <mergeCell ref="F6:G6"/>
    <mergeCell ref="B7:C7"/>
    <mergeCell ref="D7:E7"/>
    <mergeCell ref="F7:G7"/>
    <mergeCell ref="B9:K9"/>
    <mergeCell ref="B11:K11"/>
    <mergeCell ref="H6:I6"/>
    <mergeCell ref="J6:K6"/>
    <mergeCell ref="H7:I7"/>
    <mergeCell ref="J7:K7"/>
    <mergeCell ref="B2:K2"/>
    <mergeCell ref="B5:C5"/>
    <mergeCell ref="D5:E5"/>
    <mergeCell ref="F5:G5"/>
    <mergeCell ref="H5:I5"/>
    <mergeCell ref="J5:K5"/>
    <mergeCell ref="B6:C6"/>
  </mergeCells>
  <pageMargins left="0.75" right="0.75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Backlog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Mạnh Đăng</cp:lastModifiedBy>
  <dcterms:modified xsi:type="dcterms:W3CDTF">2026-09-20T13:18:29Z</dcterms:modified>
</cp:coreProperties>
</file>